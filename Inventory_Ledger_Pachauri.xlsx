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Ledger" sheetId="1" state="visible" r:id="rId1"/>
    <sheet name="Security Audi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0"/>
    </font>
    <font>
      <name val="Calibri"/>
      <b val="1"/>
      <color rgb="00555555"/>
      <sz val="9"/>
    </font>
    <font>
      <name val="Calibri"/>
      <b val="1"/>
      <color rgb="001B365D"/>
      <sz val="14"/>
    </font>
    <font>
      <name val="Calibri"/>
      <b val="1"/>
      <color rgb="009C0006"/>
      <sz val="13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FFEBEE"/>
        <bgColor rgb="00FFEBEE"/>
      </patternFill>
    </fill>
    <fill>
      <patternFill patternType="solid">
        <fgColor rgb="002C4D75"/>
        <bgColor rgb="002C4D75"/>
      </patternFill>
    </fill>
    <fill>
      <patternFill patternType="solid">
        <fgColor rgb="00F4F6F9"/>
        <bgColor rgb="00F4F6F9"/>
      </patternFill>
    </fill>
    <fill>
      <patternFill patternType="solid">
        <fgColor rgb="00E2EFDA"/>
        <bgColor rgb="00E2EFDA"/>
      </patternFill>
    </fill>
    <fill>
      <patternFill patternType="solid">
        <fgColor rgb="00365F91"/>
        <bgColor rgb="00365F91"/>
      </patternFill>
    </fill>
    <fill>
      <patternFill patternType="solid">
        <fgColor rgb="002E7D32"/>
        <bgColor rgb="002E7D3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right" vertical="center"/>
    </xf>
    <xf numFmtId="0" fontId="8" fillId="6" borderId="1" pivotButton="0" quotePrefix="0" xfId="0"/>
    <xf numFmtId="0" fontId="0" fillId="7" borderId="2" pivotButton="0" quotePrefix="0" xfId="0"/>
    <xf numFmtId="0" fontId="9" fillId="7" borderId="2" applyAlignment="1" pivotButton="0" quotePrefix="0" xfId="0">
      <alignment horizontal="left" vertical="center"/>
    </xf>
    <xf numFmtId="164" fontId="9" fillId="7" borderId="2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0" fillId="5" borderId="1" pivotButton="0" quotePrefix="0" xfId="0"/>
    <xf numFmtId="0" fontId="6" fillId="2" borderId="0" applyAlignment="1" pivotButton="0" quotePrefix="0" xfId="0">
      <alignment horizontal="left" vertical="center"/>
    </xf>
    <xf numFmtId="0" fontId="9" fillId="0" borderId="1" pivotButton="0" quotePrefix="0" xfId="0"/>
    <xf numFmtId="16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b val="1"/>
        <color rgb="00856404"/>
      </font>
      <fill>
        <patternFill patternType="solid">
          <fgColor rgb="00FFF3CD"/>
          <bgColor rgb="00FFF3CD"/>
        </patternFill>
      </fill>
    </dxf>
    <dxf>
      <font>
        <b val="1"/>
        <color rgb="00055160"/>
      </font>
      <fill>
        <patternFill patternType="solid">
          <fgColor rgb="00CFF4FC"/>
          <bgColor rgb="00CFF4FC"/>
        </patternFill>
      </fill>
    </dxf>
    <dxf>
      <font>
        <b val="1"/>
        <color rgb="000F5132"/>
      </font>
      <fill>
        <patternFill patternType="solid">
          <fgColor rgb="00D1E7DD"/>
          <bgColor rgb="00D1E7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8" customWidth="1" min="4" max="4"/>
    <col width="16" customWidth="1" min="5" max="5"/>
    <col width="16" customWidth="1" min="6" max="6"/>
    <col width="15" customWidth="1" min="7" max="7"/>
    <col width="18" customWidth="1" min="8" max="8"/>
    <col width="24" customWidth="1" min="9" max="9"/>
    <col width="14" customWidth="1" min="10" max="10"/>
  </cols>
  <sheetData>
    <row r="1" ht="30" customHeight="1">
      <c r="A1" s="1" t="inlineStr">
        <is>
          <t>PACHAURI INVENTORY &amp; BALANCE LEDGER</t>
        </is>
      </c>
    </row>
    <row r="2" ht="18" customHeight="1">
      <c r="A2" s="2" t="inlineStr">
        <is>
          <t>Authorized Inventory Tracking, Payment Reconciliation &amp; Security Audit Log</t>
        </is>
      </c>
    </row>
    <row r="4">
      <c r="A4" s="3" t="inlineStr">
        <is>
          <t>TOTAL DINESH ITEMS</t>
        </is>
      </c>
      <c r="B4" s="4" t="n"/>
      <c r="C4" s="3" t="inlineStr">
        <is>
          <t>TOTAL MUKESH ITEMS</t>
        </is>
      </c>
      <c r="D4" s="4" t="n"/>
      <c r="E4" s="3" t="inlineStr">
        <is>
          <t>TOTAL PAYMENTS SETTLED</t>
        </is>
      </c>
      <c r="F4" s="4" t="n"/>
      <c r="G4" s="5" t="inlineStr">
        <is>
          <t>NET BALANCE &amp; SETTLEMENT STATUS</t>
        </is>
      </c>
      <c r="H4" s="4" t="n"/>
      <c r="I4" s="4" t="n"/>
      <c r="J4" s="4" t="n"/>
    </row>
    <row r="5">
      <c r="A5" s="6">
        <f>F27</f>
        <v/>
      </c>
      <c r="B5" s="4" t="n"/>
      <c r="C5" s="6">
        <f>F46</f>
        <v/>
      </c>
      <c r="D5" s="4" t="n"/>
      <c r="E5" s="6">
        <f>D60</f>
        <v/>
      </c>
      <c r="F5" s="4" t="n"/>
      <c r="G5" s="7">
        <f>IF(C67&gt;0, "Dinesh owes Mukesh " &amp; TEXT(C67, "₹#,##0.00"), IF(C67&lt;0, "Mukesh owes Dinesh " &amp; TEXT(ABS(C67), "₹#,##0.00"), "BALANCED / SETTLED"))</f>
        <v/>
      </c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9" ht="24" customHeight="1">
      <c r="A9" s="8" t="inlineStr">
        <is>
          <t>ITEMS TAKEN BY: DINESH PACHAURI</t>
        </is>
      </c>
    </row>
    <row r="10" ht="22" customHeight="1">
      <c r="A10" s="9" t="inlineStr">
        <is>
          <t>#</t>
        </is>
      </c>
      <c r="B10" s="9" t="inlineStr">
        <is>
          <t>Item Description</t>
        </is>
      </c>
      <c r="C10" s="9" t="inlineStr">
        <is>
          <t>Qty</t>
        </is>
      </c>
      <c r="D10" s="9" t="inlineStr">
        <is>
          <t>Unit/Pack</t>
        </is>
      </c>
      <c r="E10" s="9" t="inlineStr">
        <is>
          <t>Price per Unit</t>
        </is>
      </c>
      <c r="F10" s="9" t="inlineStr">
        <is>
          <t>Total Value</t>
        </is>
      </c>
      <c r="G10" s="9" t="inlineStr">
        <is>
          <t>Status</t>
        </is>
      </c>
      <c r="H10" s="9" t="inlineStr">
        <is>
          <t>Acknowledged By</t>
        </is>
      </c>
      <c r="I10" s="9" t="inlineStr">
        <is>
          <t>Notes</t>
        </is>
      </c>
      <c r="J10" s="9" t="inlineStr">
        <is>
          <t>Date</t>
        </is>
      </c>
    </row>
    <row r="11" ht="20" customHeight="1">
      <c r="A11" s="10" t="n">
        <v>1</v>
      </c>
      <c r="B11" s="11" t="inlineStr">
        <is>
          <t>Double Bottle Box</t>
        </is>
      </c>
      <c r="C11" s="12" t="n">
        <v>46</v>
      </c>
      <c r="D11" s="11" t="inlineStr">
        <is>
          <t>Per Box</t>
        </is>
      </c>
      <c r="E11" s="13" t="n">
        <v>16</v>
      </c>
      <c r="F11" s="13">
        <f>IF(OR(C11="", E11=""), "", C11*E11)</f>
        <v/>
      </c>
      <c r="G11" s="10" t="inlineStr">
        <is>
          <t>Pending</t>
        </is>
      </c>
      <c r="H11" s="14" t="n"/>
      <c r="I11" s="14" t="n"/>
      <c r="J11" s="14" t="n"/>
    </row>
    <row r="12" ht="20" customHeight="1">
      <c r="A12" s="15" t="n">
        <v>2</v>
      </c>
      <c r="B12" s="16" t="inlineStr">
        <is>
          <t>Double Beer Mug Box</t>
        </is>
      </c>
      <c r="C12" s="17" t="n">
        <v>51</v>
      </c>
      <c r="D12" s="16" t="inlineStr">
        <is>
          <t>Per Box</t>
        </is>
      </c>
      <c r="E12" s="18" t="n">
        <v>11</v>
      </c>
      <c r="F12" s="18">
        <f>IF(OR(C12="", E12=""), "", C12*E12)</f>
        <v/>
      </c>
      <c r="G12" s="15" t="inlineStr">
        <is>
          <t>Pending</t>
        </is>
      </c>
      <c r="H12" s="19" t="n"/>
      <c r="I12" s="19" t="n"/>
      <c r="J12" s="19" t="n"/>
    </row>
    <row r="13" ht="20" customHeight="1">
      <c r="A13" s="10" t="n">
        <v>3</v>
      </c>
      <c r="B13" s="11" t="inlineStr">
        <is>
          <t>Modak Box</t>
        </is>
      </c>
      <c r="C13" s="12" t="n">
        <v>13</v>
      </c>
      <c r="D13" s="11" t="inlineStr">
        <is>
          <t>Pack of 6</t>
        </is>
      </c>
      <c r="E13" s="13" t="n">
        <v>23</v>
      </c>
      <c r="F13" s="13">
        <f>IF(OR(C13="", E13=""), "", C13*E13)</f>
        <v/>
      </c>
      <c r="G13" s="10" t="inlineStr">
        <is>
          <t>Pending</t>
        </is>
      </c>
      <c r="H13" s="14" t="n"/>
      <c r="I13" s="14" t="n"/>
      <c r="J13" s="14" t="n"/>
    </row>
    <row r="14" ht="20" customHeight="1">
      <c r="A14" s="15" t="n">
        <v>4</v>
      </c>
      <c r="B14" s="16" t="inlineStr">
        <is>
          <t>Modak Jar Cartoon</t>
        </is>
      </c>
      <c r="C14" s="17" t="n">
        <v>10</v>
      </c>
      <c r="D14" s="16" t="inlineStr">
        <is>
          <t>72 Pcs/Cartoon</t>
        </is>
      </c>
      <c r="E14" s="18" t="n">
        <v>972</v>
      </c>
      <c r="F14" s="18">
        <f>IF(OR(C14="", E14=""), "", C14*E14)</f>
        <v/>
      </c>
      <c r="G14" s="15" t="inlineStr">
        <is>
          <t>Pending</t>
        </is>
      </c>
      <c r="H14" s="19" t="n"/>
      <c r="I14" s="19" t="n"/>
      <c r="J14" s="19" t="n"/>
    </row>
    <row r="15" ht="20" customHeight="1">
      <c r="A15" s="10" t="n">
        <v>5</v>
      </c>
      <c r="B15" s="11" t="inlineStr">
        <is>
          <t>Salsa Jar Cartoon</t>
        </is>
      </c>
      <c r="C15" s="12" t="n">
        <v>5</v>
      </c>
      <c r="D15" s="11" t="inlineStr">
        <is>
          <t>48 Pcs/Cartoon</t>
        </is>
      </c>
      <c r="E15" s="13" t="n">
        <v>864</v>
      </c>
      <c r="F15" s="13">
        <f>IF(OR(C15="", E15=""), "", C15*E15)</f>
        <v/>
      </c>
      <c r="G15" s="10" t="inlineStr">
        <is>
          <t>Pending</t>
        </is>
      </c>
      <c r="H15" s="14" t="n"/>
      <c r="I15" s="14" t="n"/>
      <c r="J15" s="14" t="n"/>
    </row>
    <row r="16" ht="20" customHeight="1">
      <c r="A16" s="15" t="n">
        <v>6</v>
      </c>
      <c r="B16" s="16" t="inlineStr">
        <is>
          <t>Fragile Tape</t>
        </is>
      </c>
      <c r="C16" s="17" t="n">
        <v>1</v>
      </c>
      <c r="D16" s="16" t="inlineStr">
        <is>
          <t>sqft</t>
        </is>
      </c>
      <c r="E16" s="18" t="n">
        <v>140</v>
      </c>
      <c r="F16" s="18">
        <f>IF(OR(C16="", E16=""), "", C16*E16)</f>
        <v/>
      </c>
      <c r="G16" s="15" t="inlineStr">
        <is>
          <t>Pending</t>
        </is>
      </c>
      <c r="H16" s="19" t="n"/>
      <c r="I16" s="19" t="n"/>
      <c r="J16" s="19" t="n"/>
    </row>
    <row r="17" ht="20" customHeight="1">
      <c r="A17" s="10" t="n">
        <v>7</v>
      </c>
      <c r="B17" s="11" t="inlineStr">
        <is>
          <t>Transparent Tape</t>
        </is>
      </c>
      <c r="C17" s="12" t="n">
        <v>1</v>
      </c>
      <c r="D17" s="11" t="inlineStr">
        <is>
          <t>Roll</t>
        </is>
      </c>
      <c r="E17" s="13" t="n">
        <v>65</v>
      </c>
      <c r="F17" s="13">
        <f>IF(OR(C17="", E17=""), "", C17*E17)</f>
        <v/>
      </c>
      <c r="G17" s="10" t="inlineStr">
        <is>
          <t>Pending</t>
        </is>
      </c>
      <c r="H17" s="14" t="n"/>
      <c r="I17" s="14" t="n"/>
      <c r="J17" s="14" t="n"/>
    </row>
    <row r="18" ht="20" customHeight="1">
      <c r="A18" s="15" t="n">
        <v>8</v>
      </c>
      <c r="B18" s="19" t="n"/>
      <c r="C18" s="19" t="n"/>
      <c r="D18" s="19" t="n"/>
      <c r="E18" s="19" t="n"/>
      <c r="F18" s="18">
        <f>IF(OR(C18="", E18=""), "", C18*E18)</f>
        <v/>
      </c>
      <c r="G18" s="15" t="inlineStr">
        <is>
          <t>Pending</t>
        </is>
      </c>
      <c r="H18" s="19" t="n"/>
      <c r="I18" s="19" t="n"/>
      <c r="J18" s="19" t="n"/>
    </row>
    <row r="19" ht="20" customHeight="1">
      <c r="A19" s="10" t="n">
        <v>9</v>
      </c>
      <c r="B19" s="14" t="n"/>
      <c r="C19" s="14" t="n"/>
      <c r="D19" s="14" t="n"/>
      <c r="E19" s="14" t="n"/>
      <c r="F19" s="13">
        <f>IF(OR(C19="", E19=""), "", C19*E19)</f>
        <v/>
      </c>
      <c r="G19" s="10" t="inlineStr">
        <is>
          <t>Pending</t>
        </is>
      </c>
      <c r="H19" s="14" t="n"/>
      <c r="I19" s="14" t="n"/>
      <c r="J19" s="14" t="n"/>
    </row>
    <row r="20" ht="20" customHeight="1">
      <c r="A20" s="15" t="n">
        <v>10</v>
      </c>
      <c r="B20" s="19" t="n"/>
      <c r="C20" s="19" t="n"/>
      <c r="D20" s="19" t="n"/>
      <c r="E20" s="19" t="n"/>
      <c r="F20" s="18">
        <f>IF(OR(C20="", E20=""), "", C20*E20)</f>
        <v/>
      </c>
      <c r="G20" s="15" t="inlineStr">
        <is>
          <t>Pending</t>
        </is>
      </c>
      <c r="H20" s="19" t="n"/>
      <c r="I20" s="19" t="n"/>
      <c r="J20" s="19" t="n"/>
    </row>
    <row r="21" ht="20" customHeight="1">
      <c r="A21" s="10" t="n">
        <v>11</v>
      </c>
      <c r="B21" s="14" t="n"/>
      <c r="C21" s="14" t="n"/>
      <c r="D21" s="14" t="n"/>
      <c r="E21" s="14" t="n"/>
      <c r="F21" s="13">
        <f>IF(OR(C21="", E21=""), "", C21*E21)</f>
        <v/>
      </c>
      <c r="G21" s="10" t="inlineStr">
        <is>
          <t>Pending</t>
        </is>
      </c>
      <c r="H21" s="14" t="n"/>
      <c r="I21" s="14" t="n"/>
      <c r="J21" s="14" t="n"/>
    </row>
    <row r="22" ht="20" customHeight="1">
      <c r="A22" s="15" t="n">
        <v>12</v>
      </c>
      <c r="B22" s="19" t="n"/>
      <c r="C22" s="19" t="n"/>
      <c r="D22" s="19" t="n"/>
      <c r="E22" s="19" t="n"/>
      <c r="F22" s="18">
        <f>IF(OR(C22="", E22=""), "", C22*E22)</f>
        <v/>
      </c>
      <c r="G22" s="15" t="inlineStr">
        <is>
          <t>Pending</t>
        </is>
      </c>
      <c r="H22" s="19" t="n"/>
      <c r="I22" s="19" t="n"/>
      <c r="J22" s="19" t="n"/>
    </row>
    <row r="23" ht="20" customHeight="1">
      <c r="A23" s="10" t="n">
        <v>13</v>
      </c>
      <c r="B23" s="14" t="n"/>
      <c r="C23" s="14" t="n"/>
      <c r="D23" s="14" t="n"/>
      <c r="E23" s="14" t="n"/>
      <c r="F23" s="13">
        <f>IF(OR(C23="", E23=""), "", C23*E23)</f>
        <v/>
      </c>
      <c r="G23" s="10" t="inlineStr">
        <is>
          <t>Pending</t>
        </is>
      </c>
      <c r="H23" s="14" t="n"/>
      <c r="I23" s="14" t="n"/>
      <c r="J23" s="14" t="n"/>
    </row>
    <row r="24" ht="20" customHeight="1">
      <c r="A24" s="15" t="n">
        <v>14</v>
      </c>
      <c r="B24" s="19" t="n"/>
      <c r="C24" s="19" t="n"/>
      <c r="D24" s="19" t="n"/>
      <c r="E24" s="19" t="n"/>
      <c r="F24" s="18">
        <f>IF(OR(C24="", E24=""), "", C24*E24)</f>
        <v/>
      </c>
      <c r="G24" s="15" t="inlineStr">
        <is>
          <t>Pending</t>
        </is>
      </c>
      <c r="H24" s="19" t="n"/>
      <c r="I24" s="19" t="n"/>
      <c r="J24" s="19" t="n"/>
    </row>
    <row r="25" ht="20" customHeight="1">
      <c r="A25" s="10" t="n">
        <v>15</v>
      </c>
      <c r="B25" s="14" t="n"/>
      <c r="C25" s="14" t="n"/>
      <c r="D25" s="14" t="n"/>
      <c r="E25" s="14" t="n"/>
      <c r="F25" s="13">
        <f>IF(OR(C25="", E25=""), "", C25*E25)</f>
        <v/>
      </c>
      <c r="G25" s="10" t="inlineStr">
        <is>
          <t>Pending</t>
        </is>
      </c>
      <c r="H25" s="14" t="n"/>
      <c r="I25" s="14" t="n"/>
      <c r="J25" s="14" t="n"/>
    </row>
    <row r="27" ht="22" customHeight="1">
      <c r="A27" s="20" t="n"/>
      <c r="B27" s="21" t="inlineStr">
        <is>
          <t>SUBTOTAL (Dinesh's Items)</t>
        </is>
      </c>
      <c r="C27" s="20" t="n"/>
      <c r="D27" s="20" t="n"/>
      <c r="E27" s="20" t="n"/>
      <c r="F27" s="22">
        <f>SUM(F11:F25)</f>
        <v/>
      </c>
      <c r="G27" s="20" t="n"/>
      <c r="H27" s="20" t="n"/>
      <c r="I27" s="20" t="n"/>
      <c r="J27" s="20" t="n"/>
    </row>
    <row r="29" ht="24" customHeight="1">
      <c r="A29" s="23" t="inlineStr">
        <is>
          <t>ITEMS TAKEN BY: MUKESH PACHAURI</t>
        </is>
      </c>
    </row>
    <row r="30" ht="22" customHeight="1">
      <c r="A30" s="9" t="inlineStr">
        <is>
          <t>#</t>
        </is>
      </c>
      <c r="B30" s="9" t="inlineStr">
        <is>
          <t>Item Description</t>
        </is>
      </c>
      <c r="C30" s="9" t="inlineStr">
        <is>
          <t>Qty</t>
        </is>
      </c>
      <c r="D30" s="9" t="inlineStr">
        <is>
          <t>Unit/Pack</t>
        </is>
      </c>
      <c r="E30" s="9" t="inlineStr">
        <is>
          <t>Price per Unit</t>
        </is>
      </c>
      <c r="F30" s="9" t="inlineStr">
        <is>
          <t>Total Value</t>
        </is>
      </c>
      <c r="G30" s="9" t="inlineStr">
        <is>
          <t>Status</t>
        </is>
      </c>
      <c r="H30" s="9" t="inlineStr">
        <is>
          <t>Acknowledged By</t>
        </is>
      </c>
      <c r="I30" s="9" t="inlineStr">
        <is>
          <t>Notes</t>
        </is>
      </c>
      <c r="J30" s="9" t="inlineStr">
        <is>
          <t>Date</t>
        </is>
      </c>
    </row>
    <row r="31" ht="20" customHeight="1">
      <c r="A31" s="10" t="n">
        <v>1</v>
      </c>
      <c r="B31" s="11" t="inlineStr">
        <is>
          <t>Modak Jar Box</t>
        </is>
      </c>
      <c r="C31" s="12" t="n">
        <v>25</v>
      </c>
      <c r="D31" s="11" t="inlineStr">
        <is>
          <t>Pack of 4</t>
        </is>
      </c>
      <c r="E31" s="13" t="n">
        <v>17</v>
      </c>
      <c r="F31" s="13">
        <f>IF(OR(C31="", E31=""), "", C31*E31)</f>
        <v/>
      </c>
      <c r="G31" s="10" t="inlineStr">
        <is>
          <t>Pending</t>
        </is>
      </c>
      <c r="H31" s="14" t="n"/>
      <c r="I31" s="14" t="n"/>
      <c r="J31" s="14" t="n"/>
    </row>
    <row r="32" ht="20" customHeight="1">
      <c r="A32" s="15" t="n">
        <v>2</v>
      </c>
      <c r="B32" s="16" t="inlineStr">
        <is>
          <t>Modak Jar Box</t>
        </is>
      </c>
      <c r="C32" s="17" t="n">
        <v>40</v>
      </c>
      <c r="D32" s="16" t="inlineStr">
        <is>
          <t>Pack of 6</t>
        </is>
      </c>
      <c r="E32" s="18" t="n">
        <v>23</v>
      </c>
      <c r="F32" s="18">
        <f>IF(OR(C32="", E32=""), "", C32*E32)</f>
        <v/>
      </c>
      <c r="G32" s="15" t="inlineStr">
        <is>
          <t>Pending</t>
        </is>
      </c>
      <c r="H32" s="19" t="n"/>
      <c r="I32" s="19" t="n"/>
      <c r="J32" s="19" t="n"/>
    </row>
    <row r="33" ht="20" customHeight="1">
      <c r="A33" s="10" t="n">
        <v>3</v>
      </c>
      <c r="B33" s="11" t="inlineStr">
        <is>
          <t>Single Beer Mug Box</t>
        </is>
      </c>
      <c r="C33" s="12" t="n">
        <v>41</v>
      </c>
      <c r="D33" s="11" t="inlineStr">
        <is>
          <t>6/Box</t>
        </is>
      </c>
      <c r="E33" s="13" t="n">
        <v>6</v>
      </c>
      <c r="F33" s="13">
        <f>IF(OR(C33="", E33=""), "", C33*E33)</f>
        <v/>
      </c>
      <c r="G33" s="10" t="inlineStr">
        <is>
          <t>Pending</t>
        </is>
      </c>
      <c r="H33" s="14" t="n"/>
      <c r="I33" s="14" t="n"/>
      <c r="J33" s="14" t="n"/>
    </row>
    <row r="34" ht="20" customHeight="1">
      <c r="A34" s="15" t="n">
        <v>4</v>
      </c>
      <c r="B34" s="16" t="inlineStr">
        <is>
          <t>Beer Mug Cartoon</t>
        </is>
      </c>
      <c r="C34" s="17" t="n">
        <v>10</v>
      </c>
      <c r="D34" s="16" t="inlineStr">
        <is>
          <t>32 Pcs/Cartoon</t>
        </is>
      </c>
      <c r="E34" s="18" t="n">
        <v>680</v>
      </c>
      <c r="F34" s="18">
        <f>IF(OR(C34="", E34=""), "", C34*E34)</f>
        <v/>
      </c>
      <c r="G34" s="15" t="inlineStr">
        <is>
          <t>Pending</t>
        </is>
      </c>
      <c r="H34" s="19" t="n"/>
      <c r="I34" s="19" t="n"/>
      <c r="J34" s="19" t="n"/>
    </row>
    <row r="35" ht="20" customHeight="1">
      <c r="A35" s="10" t="n">
        <v>5</v>
      </c>
      <c r="B35" s="11" t="inlineStr">
        <is>
          <t>Cloth/Small Wrapping Sheet</t>
        </is>
      </c>
      <c r="C35" s="12" t="n">
        <v>2</v>
      </c>
      <c r="D35" s="11" t="inlineStr">
        <is>
          <t>Bundle</t>
        </is>
      </c>
      <c r="E35" s="14" t="n"/>
      <c r="F35" s="13">
        <f>IF(OR(C35="", E35=""), "", C35*E35)</f>
        <v/>
      </c>
      <c r="G35" s="10" t="inlineStr">
        <is>
          <t>Pending</t>
        </is>
      </c>
      <c r="H35" s="14" t="n"/>
      <c r="I35" s="14" t="n"/>
      <c r="J35" s="14" t="n"/>
    </row>
    <row r="36" ht="20" customHeight="1">
      <c r="A36" s="15" t="n">
        <v>6</v>
      </c>
      <c r="B36" s="16" t="inlineStr">
        <is>
          <t>Big Wrapping Sheet</t>
        </is>
      </c>
      <c r="C36" s="17" t="n">
        <v>1</v>
      </c>
      <c r="D36" s="16" t="inlineStr">
        <is>
          <t>Bundle</t>
        </is>
      </c>
      <c r="E36" s="19" t="n"/>
      <c r="F36" s="18">
        <f>IF(OR(C36="", E36=""), "", C36*E36)</f>
        <v/>
      </c>
      <c r="G36" s="15" t="inlineStr">
        <is>
          <t>Pending</t>
        </is>
      </c>
      <c r="H36" s="19" t="n"/>
      <c r="I36" s="19" t="n"/>
      <c r="J36" s="19" t="n"/>
    </row>
    <row r="37" ht="20" customHeight="1">
      <c r="A37" s="10" t="n">
        <v>7</v>
      </c>
      <c r="B37" s="14" t="n"/>
      <c r="C37" s="14" t="n"/>
      <c r="D37" s="14" t="n"/>
      <c r="E37" s="14" t="n"/>
      <c r="F37" s="13">
        <f>IF(OR(C37="", E37=""), "", C37*E37)</f>
        <v/>
      </c>
      <c r="G37" s="10" t="inlineStr">
        <is>
          <t>Pending</t>
        </is>
      </c>
      <c r="H37" s="14" t="n"/>
      <c r="I37" s="14" t="n"/>
      <c r="J37" s="14" t="n"/>
    </row>
    <row r="38" ht="20" customHeight="1">
      <c r="A38" s="15" t="n">
        <v>8</v>
      </c>
      <c r="B38" s="19" t="n"/>
      <c r="C38" s="19" t="n"/>
      <c r="D38" s="19" t="n"/>
      <c r="E38" s="19" t="n"/>
      <c r="F38" s="18">
        <f>IF(OR(C38="", E38=""), "", C38*E38)</f>
        <v/>
      </c>
      <c r="G38" s="15" t="inlineStr">
        <is>
          <t>Pending</t>
        </is>
      </c>
      <c r="H38" s="19" t="n"/>
      <c r="I38" s="19" t="n"/>
      <c r="J38" s="19" t="n"/>
    </row>
    <row r="39" ht="20" customHeight="1">
      <c r="A39" s="10" t="n">
        <v>9</v>
      </c>
      <c r="B39" s="14" t="n"/>
      <c r="C39" s="14" t="n"/>
      <c r="D39" s="14" t="n"/>
      <c r="E39" s="14" t="n"/>
      <c r="F39" s="13">
        <f>IF(OR(C39="", E39=""), "", C39*E39)</f>
        <v/>
      </c>
      <c r="G39" s="10" t="inlineStr">
        <is>
          <t>Pending</t>
        </is>
      </c>
      <c r="H39" s="14" t="n"/>
      <c r="I39" s="14" t="n"/>
      <c r="J39" s="14" t="n"/>
    </row>
    <row r="40" ht="20" customHeight="1">
      <c r="A40" s="15" t="n">
        <v>10</v>
      </c>
      <c r="B40" s="19" t="n"/>
      <c r="C40" s="19" t="n"/>
      <c r="D40" s="19" t="n"/>
      <c r="E40" s="19" t="n"/>
      <c r="F40" s="18">
        <f>IF(OR(C40="", E40=""), "", C40*E40)</f>
        <v/>
      </c>
      <c r="G40" s="15" t="inlineStr">
        <is>
          <t>Pending</t>
        </is>
      </c>
      <c r="H40" s="19" t="n"/>
      <c r="I40" s="19" t="n"/>
      <c r="J40" s="19" t="n"/>
    </row>
    <row r="41" ht="20" customHeight="1">
      <c r="A41" s="10" t="n">
        <v>11</v>
      </c>
      <c r="B41" s="14" t="n"/>
      <c r="C41" s="14" t="n"/>
      <c r="D41" s="14" t="n"/>
      <c r="E41" s="14" t="n"/>
      <c r="F41" s="13">
        <f>IF(OR(C41="", E41=""), "", C41*E41)</f>
        <v/>
      </c>
      <c r="G41" s="10" t="inlineStr">
        <is>
          <t>Pending</t>
        </is>
      </c>
      <c r="H41" s="14" t="n"/>
      <c r="I41" s="14" t="n"/>
      <c r="J41" s="14" t="n"/>
    </row>
    <row r="42" ht="20" customHeight="1">
      <c r="A42" s="15" t="n">
        <v>12</v>
      </c>
      <c r="B42" s="19" t="n"/>
      <c r="C42" s="19" t="n"/>
      <c r="D42" s="19" t="n"/>
      <c r="E42" s="19" t="n"/>
      <c r="F42" s="18">
        <f>IF(OR(C42="", E42=""), "", C42*E42)</f>
        <v/>
      </c>
      <c r="G42" s="15" t="inlineStr">
        <is>
          <t>Pending</t>
        </is>
      </c>
      <c r="H42" s="19" t="n"/>
      <c r="I42" s="19" t="n"/>
      <c r="J42" s="19" t="n"/>
    </row>
    <row r="43" ht="20" customHeight="1">
      <c r="A43" s="10" t="n">
        <v>13</v>
      </c>
      <c r="B43" s="14" t="n"/>
      <c r="C43" s="14" t="n"/>
      <c r="D43" s="14" t="n"/>
      <c r="E43" s="14" t="n"/>
      <c r="F43" s="13">
        <f>IF(OR(C43="", E43=""), "", C43*E43)</f>
        <v/>
      </c>
      <c r="G43" s="10" t="inlineStr">
        <is>
          <t>Pending</t>
        </is>
      </c>
      <c r="H43" s="14" t="n"/>
      <c r="I43" s="14" t="n"/>
      <c r="J43" s="14" t="n"/>
    </row>
    <row r="44" ht="20" customHeight="1">
      <c r="A44" s="15" t="n">
        <v>14</v>
      </c>
      <c r="B44" s="19" t="n"/>
      <c r="C44" s="19" t="n"/>
      <c r="D44" s="19" t="n"/>
      <c r="E44" s="19" t="n"/>
      <c r="F44" s="18">
        <f>IF(OR(C44="", E44=""), "", C44*E44)</f>
        <v/>
      </c>
      <c r="G44" s="15" t="inlineStr">
        <is>
          <t>Pending</t>
        </is>
      </c>
      <c r="H44" s="19" t="n"/>
      <c r="I44" s="19" t="n"/>
      <c r="J44" s="19" t="n"/>
    </row>
    <row r="45" ht="20" customHeight="1">
      <c r="A45" s="10" t="n">
        <v>15</v>
      </c>
      <c r="B45" s="14" t="n"/>
      <c r="C45" s="14" t="n"/>
      <c r="D45" s="14" t="n"/>
      <c r="E45" s="14" t="n"/>
      <c r="F45" s="13">
        <f>IF(OR(C45="", E45=""), "", C45*E45)</f>
        <v/>
      </c>
      <c r="G45" s="10" t="inlineStr">
        <is>
          <t>Pending</t>
        </is>
      </c>
      <c r="H45" s="14" t="n"/>
      <c r="I45" s="14" t="n"/>
      <c r="J45" s="14" t="n"/>
    </row>
    <row r="46" ht="22" customHeight="1">
      <c r="A46" s="20" t="n"/>
      <c r="B46" s="21" t="inlineStr">
        <is>
          <t>SUBTOTAL (Mukesh's Items)</t>
        </is>
      </c>
      <c r="C46" s="20" t="n"/>
      <c r="D46" s="20" t="n"/>
      <c r="E46" s="20" t="n"/>
      <c r="F46" s="22">
        <f>SUM(F31:F45)</f>
        <v/>
      </c>
      <c r="G46" s="20" t="n"/>
      <c r="H46" s="20" t="n"/>
      <c r="I46" s="20" t="n"/>
      <c r="J46" s="20" t="n"/>
    </row>
    <row r="48" ht="24" customHeight="1">
      <c r="A48" s="24" t="inlineStr">
        <is>
          <t>PAYMENT TRACKING LOG</t>
        </is>
      </c>
    </row>
    <row r="49" ht="22" customHeight="1">
      <c r="A49" s="9" t="inlineStr">
        <is>
          <t>#</t>
        </is>
      </c>
      <c r="B49" s="9" t="inlineStr">
        <is>
          <t>Date</t>
        </is>
      </c>
      <c r="C49" s="9" t="inlineStr">
        <is>
          <t>Paid By</t>
        </is>
      </c>
      <c r="D49" s="9" t="inlineStr">
        <is>
          <t>Amount Paid</t>
        </is>
      </c>
      <c r="E49" s="9" t="inlineStr">
        <is>
          <t>Payment Method</t>
        </is>
      </c>
      <c r="F49" s="9" t="inlineStr">
        <is>
          <t>Notes</t>
        </is>
      </c>
      <c r="G49" s="25" t="n"/>
      <c r="H49" s="25" t="n"/>
      <c r="I49" s="25" t="n"/>
      <c r="J49" s="25" t="n"/>
    </row>
    <row r="50" ht="20" customHeight="1">
      <c r="A50" s="15" t="n">
        <v>1</v>
      </c>
      <c r="B50" s="15" t="n"/>
      <c r="C50" s="16" t="n"/>
      <c r="D50" s="18" t="n"/>
      <c r="E50" s="15" t="n"/>
      <c r="F50" s="19" t="n"/>
      <c r="G50" s="19" t="n"/>
      <c r="H50" s="19" t="n"/>
      <c r="I50" s="19" t="n"/>
      <c r="J50" s="19" t="n"/>
    </row>
    <row r="51" ht="20" customHeight="1">
      <c r="A51" s="10" t="n">
        <v>2</v>
      </c>
      <c r="B51" s="10" t="n"/>
      <c r="C51" s="11" t="n"/>
      <c r="D51" s="13" t="n"/>
      <c r="E51" s="10" t="n"/>
      <c r="F51" s="14" t="n"/>
      <c r="G51" s="14" t="n"/>
      <c r="H51" s="14" t="n"/>
      <c r="I51" s="14" t="n"/>
      <c r="J51" s="14" t="n"/>
    </row>
    <row r="52" ht="20" customHeight="1">
      <c r="A52" s="15" t="n">
        <v>3</v>
      </c>
      <c r="B52" s="15" t="n"/>
      <c r="C52" s="16" t="n"/>
      <c r="D52" s="18" t="n"/>
      <c r="E52" s="15" t="n"/>
      <c r="F52" s="19" t="n"/>
      <c r="G52" s="19" t="n"/>
      <c r="H52" s="19" t="n"/>
      <c r="I52" s="19" t="n"/>
      <c r="J52" s="19" t="n"/>
    </row>
    <row r="53" ht="20" customHeight="1">
      <c r="A53" s="10" t="n">
        <v>4</v>
      </c>
      <c r="B53" s="10" t="n"/>
      <c r="C53" s="11" t="n"/>
      <c r="D53" s="13" t="n"/>
      <c r="E53" s="10" t="n"/>
      <c r="F53" s="14" t="n"/>
      <c r="G53" s="14" t="n"/>
      <c r="H53" s="14" t="n"/>
      <c r="I53" s="14" t="n"/>
      <c r="J53" s="14" t="n"/>
    </row>
    <row r="54" ht="20" customHeight="1">
      <c r="A54" s="15" t="n">
        <v>5</v>
      </c>
      <c r="B54" s="15" t="n"/>
      <c r="C54" s="16" t="n"/>
      <c r="D54" s="18" t="n"/>
      <c r="E54" s="15" t="n"/>
      <c r="F54" s="19" t="n"/>
      <c r="G54" s="19" t="n"/>
      <c r="H54" s="19" t="n"/>
      <c r="I54" s="19" t="n"/>
      <c r="J54" s="19" t="n"/>
    </row>
    <row r="55" ht="20" customHeight="1">
      <c r="A55" s="10" t="n">
        <v>6</v>
      </c>
      <c r="B55" s="10" t="n"/>
      <c r="C55" s="11" t="n"/>
      <c r="D55" s="13" t="n"/>
      <c r="E55" s="10" t="n"/>
      <c r="F55" s="14" t="n"/>
      <c r="G55" s="14" t="n"/>
      <c r="H55" s="14" t="n"/>
      <c r="I55" s="14" t="n"/>
      <c r="J55" s="14" t="n"/>
    </row>
    <row r="56" ht="20" customHeight="1">
      <c r="A56" s="15" t="n">
        <v>7</v>
      </c>
      <c r="B56" s="15" t="n"/>
      <c r="C56" s="16" t="n"/>
      <c r="D56" s="18" t="n"/>
      <c r="E56" s="15" t="n"/>
      <c r="F56" s="19" t="n"/>
      <c r="G56" s="19" t="n"/>
      <c r="H56" s="19" t="n"/>
      <c r="I56" s="19" t="n"/>
      <c r="J56" s="19" t="n"/>
    </row>
    <row r="57" ht="20" customHeight="1">
      <c r="A57" s="10" t="n">
        <v>8</v>
      </c>
      <c r="B57" s="10" t="n"/>
      <c r="C57" s="11" t="n"/>
      <c r="D57" s="13" t="n"/>
      <c r="E57" s="10" t="n"/>
      <c r="F57" s="14" t="n"/>
      <c r="G57" s="14" t="n"/>
      <c r="H57" s="14" t="n"/>
      <c r="I57" s="14" t="n"/>
      <c r="J57" s="14" t="n"/>
    </row>
    <row r="58" ht="20" customHeight="1">
      <c r="A58" s="15" t="n">
        <v>9</v>
      </c>
      <c r="B58" s="15" t="n"/>
      <c r="C58" s="16" t="n"/>
      <c r="D58" s="18" t="n"/>
      <c r="E58" s="15" t="n"/>
      <c r="F58" s="19" t="n"/>
      <c r="G58" s="19" t="n"/>
      <c r="H58" s="19" t="n"/>
      <c r="I58" s="19" t="n"/>
      <c r="J58" s="19" t="n"/>
    </row>
    <row r="59" ht="20" customHeight="1">
      <c r="A59" s="10" t="n">
        <v>10</v>
      </c>
      <c r="B59" s="10" t="n"/>
      <c r="C59" s="11" t="n"/>
      <c r="D59" s="13" t="n"/>
      <c r="E59" s="10" t="n"/>
      <c r="F59" s="14" t="n"/>
      <c r="G59" s="14" t="n"/>
      <c r="H59" s="14" t="n"/>
      <c r="I59" s="14" t="n"/>
      <c r="J59" s="14" t="n"/>
    </row>
    <row r="60" ht="22" customHeight="1">
      <c r="A60" s="20" t="n"/>
      <c r="B60" s="20" t="n"/>
      <c r="C60" s="21" t="inlineStr">
        <is>
          <t>TOTAL PAYMENTS SETTLED</t>
        </is>
      </c>
      <c r="D60" s="22">
        <f>SUM(D50:D59)</f>
        <v/>
      </c>
      <c r="E60" s="20" t="n"/>
      <c r="F60" s="20" t="n"/>
      <c r="G60" s="20" t="n"/>
      <c r="H60" s="20" t="n"/>
      <c r="I60" s="20" t="n"/>
      <c r="J60" s="20" t="n"/>
    </row>
    <row r="62" ht="24" customHeight="1">
      <c r="A62" s="26" t="inlineStr">
        <is>
          <t>BALANCE RECONCILIATION &amp; INSTRUCTIONS</t>
        </is>
      </c>
    </row>
    <row r="63">
      <c r="A63" s="27" t="inlineStr">
        <is>
          <t>Total Value (Dinesh's Items):</t>
        </is>
      </c>
      <c r="B63" s="4" t="n"/>
      <c r="C63" s="28">
        <f>F27</f>
        <v/>
      </c>
      <c r="E63" s="9" t="inlineStr">
        <is>
          <t>OPERATIONAL INSTRUCTIONS &amp; SECURITY PROTOCOL</t>
        </is>
      </c>
      <c r="F63" s="4" t="n"/>
      <c r="G63" s="4" t="n"/>
      <c r="H63" s="4" t="n"/>
      <c r="I63" s="4" t="n"/>
      <c r="J63" s="4" t="n"/>
    </row>
    <row r="64">
      <c r="A64" s="27" t="inlineStr">
        <is>
          <t>Total Value (Mukesh's Items):</t>
        </is>
      </c>
      <c r="B64" s="4" t="n"/>
      <c r="C64" s="28">
        <f>F46</f>
        <v/>
      </c>
      <c r="E64" s="29" t="inlineStr">
        <is>
          <t>1. Only authenticated users (Dinesh Pachauri or Mukesh Pachauri) can make changes.</t>
        </is>
      </c>
      <c r="F64" s="4" t="n"/>
      <c r="G64" s="4" t="n"/>
      <c r="H64" s="4" t="n"/>
      <c r="I64" s="4" t="n"/>
      <c r="J64" s="4" t="n"/>
    </row>
    <row r="65">
      <c r="A65" s="14" t="inlineStr">
        <is>
          <t>Total Paid by Dinesh:</t>
        </is>
      </c>
      <c r="B65" s="4" t="n"/>
      <c r="C65" s="13">
        <f>SUMIF(C50:C59, "Dinesh Pachauri", D50:D59)</f>
        <v/>
      </c>
      <c r="E65" s="29" t="inlineStr">
        <is>
          <t>2. To modify entries, change status, or record payments, enter your Security PIN (Default: 1234).</t>
        </is>
      </c>
      <c r="F65" s="4" t="n"/>
      <c r="G65" s="4" t="n"/>
      <c r="H65" s="4" t="n"/>
      <c r="I65" s="4" t="n"/>
      <c r="J65" s="4" t="n"/>
    </row>
    <row r="66">
      <c r="A66" s="14" t="inlineStr">
        <is>
          <t>Total Paid by Mukesh:</t>
        </is>
      </c>
      <c r="B66" s="4" t="n"/>
      <c r="C66" s="13">
        <f>SUMIF(C50:C59, "Mukesh Pachauri", D50:D59)</f>
        <v/>
      </c>
      <c r="E66" s="29" t="inlineStr">
        <is>
          <t>3. Every mutation automatically logs the exact timestamp and authenticated user ID.</t>
        </is>
      </c>
      <c r="F66" s="4" t="n"/>
      <c r="G66" s="4" t="n"/>
      <c r="H66" s="4" t="n"/>
      <c r="I66" s="4" t="n"/>
      <c r="J66" s="4" t="n"/>
    </row>
    <row r="67">
      <c r="A67" s="27" t="inlineStr">
        <is>
          <t>NET BALANCE DIFFERENCE:</t>
        </is>
      </c>
      <c r="B67" s="4" t="n"/>
      <c r="C67" s="28">
        <f>(C63-C65)-(C64-C66)</f>
        <v/>
      </c>
      <c r="E67" s="29" t="inlineStr">
        <is>
          <t>4. When adding a new item entry, set Status to 'Pending'.</t>
        </is>
      </c>
      <c r="F67" s="4" t="n"/>
      <c r="G67" s="4" t="n"/>
      <c r="H67" s="4" t="n"/>
      <c r="I67" s="4" t="n"/>
      <c r="J67" s="4" t="n"/>
    </row>
    <row r="68">
      <c r="A68" s="7">
        <f>IF(C67&gt;0, "RESULT: Dinesh owes Mukesh " &amp; TEXT(C67, "₹#,##0.00"), IF(C67&lt;0, "RESULT: Mukesh owes Dinesh " &amp; TEXT(ABS(C67), "₹#,##0.00"), "RESULT: Fully Balanced"))</f>
        <v/>
      </c>
      <c r="B68" s="4" t="n"/>
      <c r="C68" s="4" t="n"/>
      <c r="E68" s="29" t="inlineStr">
        <is>
          <t>5. Other authorized person acknowledges receipt by changing Status to 'Acknowledged'.</t>
        </is>
      </c>
      <c r="F68" s="4" t="n"/>
      <c r="G68" s="4" t="n"/>
      <c r="H68" s="4" t="n"/>
      <c r="I68" s="4" t="n"/>
      <c r="J68" s="4" t="n"/>
    </row>
    <row r="69">
      <c r="E69" s="29" t="inlineStr">
        <is>
          <t>6. Audit history is preserved in the 'Security Audit Log' tab.</t>
        </is>
      </c>
      <c r="F69" s="4" t="n"/>
      <c r="G69" s="4" t="n"/>
      <c r="H69" s="4" t="n"/>
      <c r="I69" s="4" t="n"/>
      <c r="J69" s="4" t="n"/>
    </row>
  </sheetData>
  <mergeCells count="39">
    <mergeCell ref="F53:J53"/>
    <mergeCell ref="E63:J63"/>
    <mergeCell ref="A64:B64"/>
    <mergeCell ref="G4:J4"/>
    <mergeCell ref="F54:J54"/>
    <mergeCell ref="A62:J62"/>
    <mergeCell ref="A5:B6"/>
    <mergeCell ref="A29:J29"/>
    <mergeCell ref="E65:J65"/>
    <mergeCell ref="E69:J69"/>
    <mergeCell ref="C4:D4"/>
    <mergeCell ref="E4:F4"/>
    <mergeCell ref="F59:J59"/>
    <mergeCell ref="F55:J55"/>
    <mergeCell ref="A65:B65"/>
    <mergeCell ref="F51:J51"/>
    <mergeCell ref="A9:J9"/>
    <mergeCell ref="A66:B66"/>
    <mergeCell ref="A48:J48"/>
    <mergeCell ref="F50:J50"/>
    <mergeCell ref="G5:J6"/>
    <mergeCell ref="A1:J1"/>
    <mergeCell ref="A68:C68"/>
    <mergeCell ref="E66:J66"/>
    <mergeCell ref="C5:D6"/>
    <mergeCell ref="E5:F6"/>
    <mergeCell ref="F56:J56"/>
    <mergeCell ref="F58:J58"/>
    <mergeCell ref="A4:B4"/>
    <mergeCell ref="F52:J52"/>
    <mergeCell ref="E68:J68"/>
    <mergeCell ref="A63:B63"/>
    <mergeCell ref="E67:J67"/>
    <mergeCell ref="F60:J60"/>
    <mergeCell ref="F49:J49"/>
    <mergeCell ref="A2:J2"/>
    <mergeCell ref="F57:J57"/>
    <mergeCell ref="A67:B67"/>
    <mergeCell ref="E64:J64"/>
  </mergeCells>
  <conditionalFormatting sqref="G11:G25">
    <cfRule type="cellIs" priority="1" operator="equal" dxfId="0" stopIfTrue="1">
      <formula>"Pending"</formula>
    </cfRule>
    <cfRule type="cellIs" priority="3" operator="equal" dxfId="1" stopIfTrue="1">
      <formula>"Acknowledged"</formula>
    </cfRule>
    <cfRule type="cellIs" priority="5" operator="equal" dxfId="2" stopIfTrue="1">
      <formula>"Cleared"</formula>
    </cfRule>
  </conditionalFormatting>
  <conditionalFormatting sqref="G31:G45">
    <cfRule type="cellIs" priority="2" operator="equal" dxfId="0" stopIfTrue="1">
      <formula>"Pending"</formula>
    </cfRule>
    <cfRule type="cellIs" priority="4" operator="equal" dxfId="1" stopIfTrue="1">
      <formula>"Acknowledged"</formula>
    </cfRule>
    <cfRule type="cellIs" priority="6" operator="equal" dxfId="2" stopIfTrue="1">
      <formula>"Cleared"</formula>
    </cfRule>
  </conditionalFormatting>
  <dataValidations count="2">
    <dataValidation sqref="G11:G25 G31:G45" showDropDown="0" showInputMessage="0" showErrorMessage="0" allowBlank="1" type="list">
      <formula1>"Pending,Acknowledged,Cleared"</formula1>
    </dataValidation>
    <dataValidation sqref="C50:C59" showDropDown="0" showInputMessage="0" showErrorMessage="0" allowBlank="1" type="list">
      <formula1>"Dinesh Pachauri,Mukesh Pachauri"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8" customWidth="1" min="4" max="4"/>
    <col width="65" customWidth="1" min="5" max="5"/>
  </cols>
  <sheetData>
    <row r="1">
      <c r="A1" s="1" t="inlineStr">
        <is>
          <t>PACHAURI INVENTORY SECURITY &amp; ACTIVITY AUDIT LOG</t>
        </is>
      </c>
    </row>
    <row r="2" ht="22" customHeight="1">
      <c r="A2" s="9" t="inlineStr">
        <is>
          <t>#</t>
        </is>
      </c>
      <c r="B2" s="9" t="inlineStr">
        <is>
          <t>Timestamp</t>
        </is>
      </c>
      <c r="C2" s="9" t="inlineStr">
        <is>
          <t>Authenticated User</t>
        </is>
      </c>
      <c r="D2" s="9" t="inlineStr">
        <is>
          <t>Action Type</t>
        </is>
      </c>
      <c r="E2" s="9" t="inlineStr">
        <is>
          <t>Activity &amp; Security Audit Details</t>
        </is>
      </c>
    </row>
    <row r="3" ht="20" customHeight="1">
      <c r="A3" s="10" t="n">
        <v>1</v>
      </c>
      <c r="B3" s="10" t="inlineStr">
        <is>
          <t>2026-08-10 10:00:00</t>
        </is>
      </c>
      <c r="C3" s="11" t="inlineStr">
        <is>
          <t>Dinesh Pachauri</t>
        </is>
      </c>
      <c r="D3" s="10" t="inlineStr">
        <is>
          <t>Item Added</t>
        </is>
      </c>
      <c r="E3" s="11" t="inlineStr">
        <is>
          <t>Initial entry created: 7 inventory items added for Dinesh Pachauri (Total: ₹15,841.00)</t>
        </is>
      </c>
    </row>
    <row r="4" ht="20" customHeight="1">
      <c r="A4" s="15" t="n">
        <v>2</v>
      </c>
      <c r="B4" s="15" t="inlineStr">
        <is>
          <t>2026-08-10 10:05:00</t>
        </is>
      </c>
      <c r="C4" s="16" t="inlineStr">
        <is>
          <t>Mukesh Pachauri</t>
        </is>
      </c>
      <c r="D4" s="15" t="inlineStr">
        <is>
          <t>Item Added</t>
        </is>
      </c>
      <c r="E4" s="16" t="inlineStr">
        <is>
          <t>Initial entry created: 6 inventory items added for Mukesh Pachauri (Total: ₹8,391.00)</t>
        </is>
      </c>
    </row>
    <row r="5" ht="20" customHeight="1">
      <c r="A5" s="10" t="n">
        <v>3</v>
      </c>
      <c r="B5" s="10" t="inlineStr">
        <is>
          <t>2026-08-10 10:10:00</t>
        </is>
      </c>
      <c r="C5" s="11" t="inlineStr">
        <is>
          <t>System Security</t>
        </is>
      </c>
      <c r="D5" s="10" t="inlineStr">
        <is>
          <t>Ledger Initialized</t>
        </is>
      </c>
      <c r="E5" s="11" t="inlineStr">
        <is>
          <t>Automated ledger initialized with security PIN authentication &amp; time-stamped audit logging.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2026-08-10T18:43:50Z</dcterms:created>
  <dcterms:modified xsi:type="dcterms:W3CDTF">2026-08-10T18:43:50Z</dcterms:modified>
</cp:coreProperties>
</file>